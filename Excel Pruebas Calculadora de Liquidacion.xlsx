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sar\UDEM\Semestre 3\Codigo Limpio\"/>
    </mc:Choice>
  </mc:AlternateContent>
  <xr:revisionPtr revIDLastSave="0" documentId="13_ncr:1_{BF0F4EA5-D0C4-4FDA-BC0D-7ABFE9252EF9}" xr6:coauthVersionLast="47" xr6:coauthVersionMax="47" xr10:uidLastSave="{00000000-0000-0000-0000-000000000000}"/>
  <bookViews>
    <workbookView xWindow="-108" yWindow="-108" windowWidth="23256" windowHeight="13896" xr2:uid="{643A7808-E11E-40DC-9D1B-B90C41F0CE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J9" i="1" s="1"/>
  <c r="F8" i="1"/>
  <c r="J8" i="1" s="1"/>
  <c r="F10" i="1"/>
  <c r="J10" i="1" s="1"/>
  <c r="F5" i="1"/>
  <c r="G5" i="1" s="1"/>
  <c r="F4" i="1"/>
  <c r="J4" i="1" s="1"/>
  <c r="F3" i="1"/>
  <c r="G3" i="1" s="1"/>
  <c r="H3" i="1" s="1"/>
  <c r="G9" i="1" l="1"/>
  <c r="G8" i="1"/>
  <c r="I9" i="1"/>
  <c r="I8" i="1"/>
  <c r="G10" i="1"/>
  <c r="H10" i="1" s="1"/>
  <c r="I10" i="1"/>
  <c r="H5" i="1"/>
  <c r="I3" i="1"/>
  <c r="J3" i="1"/>
  <c r="G4" i="1"/>
  <c r="H4" i="1" s="1"/>
  <c r="I4" i="1"/>
  <c r="I5" i="1"/>
  <c r="J5" i="1"/>
  <c r="H8" i="1" l="1"/>
  <c r="K8" i="1"/>
  <c r="H9" i="1"/>
  <c r="K9" i="1" s="1"/>
  <c r="K10" i="1"/>
  <c r="K5" i="1" l="1"/>
  <c r="K4" i="1"/>
  <c r="K3" i="1"/>
</calcChain>
</file>

<file path=xl/sharedStrings.xml><?xml version="1.0" encoding="utf-8"?>
<sst xmlns="http://schemas.openxmlformats.org/spreadsheetml/2006/main" count="34" uniqueCount="34">
  <si>
    <t>ENTRADAS</t>
  </si>
  <si>
    <t>SALIDAS</t>
  </si>
  <si>
    <t>Casos Normales</t>
  </si>
  <si>
    <t>Caso Normal</t>
  </si>
  <si>
    <t>Caso Normal 2</t>
  </si>
  <si>
    <t>Casos Extraordinarios</t>
  </si>
  <si>
    <t>Casos de Error</t>
  </si>
  <si>
    <t>Salario Básico Mensual</t>
  </si>
  <si>
    <t>Cesantias</t>
  </si>
  <si>
    <t>Intereses a las Cesantias</t>
  </si>
  <si>
    <t>Vacaciones</t>
  </si>
  <si>
    <t>Caso Normal 3</t>
  </si>
  <si>
    <t>Prima de Servicios</t>
  </si>
  <si>
    <t>Neto Pagado</t>
  </si>
  <si>
    <t>Fecha de Ingreso</t>
  </si>
  <si>
    <t>Fecha de Retiro</t>
  </si>
  <si>
    <t>Tiempo Trabajado en Dias</t>
  </si>
  <si>
    <t>Contrato muy corto</t>
  </si>
  <si>
    <t>Salario &lt;= 0</t>
  </si>
  <si>
    <t>ERROR: El valor del salario mensual debe ser mayor que 0</t>
  </si>
  <si>
    <t>Fecha de retiro anterior a la fecha de ingreso</t>
  </si>
  <si>
    <t>ERROR: La fecha de retiro no puede ser anterior a la fecha de ingreso.</t>
  </si>
  <si>
    <t>Cambio de semestre</t>
  </si>
  <si>
    <t>Fechas ingresadas erroneamente</t>
  </si>
  <si>
    <t>jueves, 31 de abril de 2026</t>
  </si>
  <si>
    <t>ERROR: La fecha ingresada n</t>
  </si>
  <si>
    <t>Salario menor a SMMLV</t>
  </si>
  <si>
    <t>4/14/2026</t>
  </si>
  <si>
    <t>5/14/2026</t>
  </si>
  <si>
    <t>ERROR: La fecha debe de tener formato DD/MM/AAAA</t>
  </si>
  <si>
    <t>Formato de fecha inválido</t>
  </si>
  <si>
    <t>Valor ingresado en salario inválido</t>
  </si>
  <si>
    <t>Tres Millones</t>
  </si>
  <si>
    <t>ERROR: Debe de ingresar números enteros en este apartado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</si>
</sst>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\-&quot;$&quot;#,##0.00"/>
    <numFmt numFmtId="166" formatCode="&quot;$&quot;\ #,##0"/>
    <numFmt numFmtId="167" formatCode="&quot;$&quot;#,##0;[Red]\-&quot;$&quot;#,##0"/>
    <numFmt numFmtId="168" formatCode="[$-F800]dddd\,\ mmmm\ dd\,\ yyyy"/>
  </numFmts>
  <fonts count="4" x14ac:knownFonts="1">
    <font>
      <sz val="12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2" borderId="0" xfId="0" applyFill="1"/>
    <xf numFmtId="0" fontId="0" fillId="3" borderId="0" xfId="0" applyFill="1" applyAlignment="1">
      <alignment horizontal="center"/>
    </xf>
    <xf numFmtId="168" fontId="3" fillId="0" borderId="0" xfId="1" applyNumberFormat="1" applyAlignment="1">
      <alignment horizontal="left"/>
    </xf>
    <xf numFmtId="0" fontId="3" fillId="0" borderId="0" xfId="1" applyNumberFormat="1" applyAlignment="1">
      <alignment horizontal="left"/>
    </xf>
  </cellXfs>
  <cellStyles count="2">
    <cellStyle name="Normal" xfId="0" builtinId="0"/>
    <cellStyle name="Normal 2" xfId="1" xr:uid="{002E42A0-DFFE-499B-84EF-B9FE154BC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7AFD-A4EB-4D8F-8841-C6D7F203AEC9}">
  <dimension ref="A1:K17"/>
  <sheetViews>
    <sheetView tabSelected="1" workbookViewId="0">
      <selection activeCell="H21" sqref="H21"/>
    </sheetView>
  </sheetViews>
  <sheetFormatPr baseColWidth="10" defaultRowHeight="15" x14ac:dyDescent="0.25"/>
  <cols>
    <col min="1" max="1" width="37.36328125" bestFit="1" customWidth="1"/>
    <col min="2" max="2" width="11.453125" bestFit="1" customWidth="1"/>
    <col min="3" max="3" width="24" bestFit="1" customWidth="1"/>
    <col min="4" max="4" width="24.81640625" bestFit="1" customWidth="1"/>
    <col min="5" max="6" width="11.08984375" customWidth="1"/>
    <col min="7" max="7" width="11.453125" bestFit="1" customWidth="1"/>
    <col min="10" max="10" width="12.36328125" bestFit="1" customWidth="1"/>
    <col min="11" max="11" width="11.453125" bestFit="1" customWidth="1"/>
  </cols>
  <sheetData>
    <row r="1" spans="1:11" x14ac:dyDescent="0.25">
      <c r="B1" s="6" t="s">
        <v>0</v>
      </c>
      <c r="C1" s="6"/>
      <c r="D1" s="6"/>
      <c r="F1" s="7" t="s">
        <v>1</v>
      </c>
      <c r="G1" s="7"/>
      <c r="H1" s="7"/>
      <c r="I1" s="7"/>
      <c r="J1" s="7"/>
      <c r="K1" s="7"/>
    </row>
    <row r="2" spans="1:11" ht="45.6" x14ac:dyDescent="0.3">
      <c r="A2" s="1" t="s">
        <v>2</v>
      </c>
      <c r="B2" s="2" t="s">
        <v>7</v>
      </c>
      <c r="C2" s="2" t="s">
        <v>14</v>
      </c>
      <c r="D2" s="2" t="s">
        <v>15</v>
      </c>
      <c r="F2" s="2" t="s">
        <v>16</v>
      </c>
      <c r="G2" s="2" t="s">
        <v>8</v>
      </c>
      <c r="H2" s="2" t="s">
        <v>9</v>
      </c>
      <c r="I2" s="2" t="s">
        <v>10</v>
      </c>
      <c r="J2" s="2" t="s">
        <v>12</v>
      </c>
      <c r="K2" s="2" t="s">
        <v>13</v>
      </c>
    </row>
    <row r="3" spans="1:11" x14ac:dyDescent="0.25">
      <c r="A3" t="s">
        <v>3</v>
      </c>
      <c r="B3" s="4">
        <v>1750905</v>
      </c>
      <c r="C3" s="8">
        <v>46023</v>
      </c>
      <c r="D3" s="8">
        <v>46387</v>
      </c>
      <c r="F3">
        <f>DAYS360(C3,D3)</f>
        <v>360</v>
      </c>
      <c r="G3" s="4">
        <f>(B3*F3)/360</f>
        <v>1750905</v>
      </c>
      <c r="H3" s="5">
        <f>(G3*F3)*0.12/360</f>
        <v>210108.6</v>
      </c>
      <c r="I3" s="5">
        <f>(B3*F3)/360/2</f>
        <v>875452.5</v>
      </c>
      <c r="J3" s="5">
        <f>(B3*F3)/360</f>
        <v>1750905</v>
      </c>
      <c r="K3" s="4">
        <f>SUM(G3:J3)</f>
        <v>4587371.0999999996</v>
      </c>
    </row>
    <row r="4" spans="1:11" x14ac:dyDescent="0.25">
      <c r="A4" t="s">
        <v>4</v>
      </c>
      <c r="B4" s="4">
        <v>3501810</v>
      </c>
      <c r="C4" s="8">
        <v>46023</v>
      </c>
      <c r="D4" s="8">
        <v>46174</v>
      </c>
      <c r="F4">
        <f t="shared" ref="F4" si="0">DAYS360(C4,D4)</f>
        <v>150</v>
      </c>
      <c r="G4" s="4">
        <f t="shared" ref="G4" si="1">(B4*F4)/360</f>
        <v>1459087.5</v>
      </c>
      <c r="H4" s="5">
        <f t="shared" ref="H4:H10" si="2">(G4*F4)*0.12/360</f>
        <v>72954.375</v>
      </c>
      <c r="I4" s="5">
        <f t="shared" ref="I4" si="3">(B4*F4)/360/2</f>
        <v>729543.75</v>
      </c>
      <c r="J4" s="5">
        <f t="shared" ref="J4" si="4">(B4*F4)/360</f>
        <v>1459087.5</v>
      </c>
      <c r="K4" s="4">
        <f t="shared" ref="K4" si="5">SUM(G4:J4)</f>
        <v>3720673.125</v>
      </c>
    </row>
    <row r="5" spans="1:11" x14ac:dyDescent="0.25">
      <c r="A5" t="s">
        <v>11</v>
      </c>
      <c r="B5" s="4">
        <v>5050000</v>
      </c>
      <c r="C5" s="8">
        <v>46235</v>
      </c>
      <c r="D5" s="8">
        <v>46265</v>
      </c>
      <c r="F5">
        <f>DAYS360(C5,D5)</f>
        <v>30</v>
      </c>
      <c r="G5" s="4">
        <f>(B5*F5)/360</f>
        <v>420833.33333333331</v>
      </c>
      <c r="H5" s="5">
        <f t="shared" si="2"/>
        <v>4208.333333333333</v>
      </c>
      <c r="I5" s="5">
        <f>(B5*F5)/360/2</f>
        <v>210416.66666666666</v>
      </c>
      <c r="J5" s="5">
        <f>(B5*F5)/360</f>
        <v>420833.33333333331</v>
      </c>
      <c r="K5" s="4">
        <f>SUM(G5:J5)</f>
        <v>1056291.6666666665</v>
      </c>
    </row>
    <row r="6" spans="1:11" x14ac:dyDescent="0.25">
      <c r="B6" s="4"/>
      <c r="C6" s="8"/>
      <c r="D6" s="8"/>
    </row>
    <row r="7" spans="1:11" ht="15.6" x14ac:dyDescent="0.3">
      <c r="A7" s="1" t="s">
        <v>5</v>
      </c>
      <c r="B7" s="4"/>
      <c r="C7" s="8"/>
      <c r="D7" s="8"/>
    </row>
    <row r="8" spans="1:11" x14ac:dyDescent="0.25">
      <c r="A8" t="s">
        <v>17</v>
      </c>
      <c r="B8" s="4">
        <v>6000000</v>
      </c>
      <c r="C8" s="8">
        <v>46032</v>
      </c>
      <c r="D8" s="8">
        <v>46042</v>
      </c>
      <c r="F8">
        <f t="shared" ref="F8:F10" si="6">DAYS360(C8,D8)</f>
        <v>10</v>
      </c>
      <c r="G8" s="4">
        <f t="shared" ref="G8:G10" si="7">(B8*F8)/360</f>
        <v>166666.66666666666</v>
      </c>
      <c r="H8" s="5">
        <f t="shared" si="2"/>
        <v>555.55555555555543</v>
      </c>
      <c r="I8" s="5">
        <f t="shared" ref="I8:I10" si="8">(B8*F8)/360/2</f>
        <v>83333.333333333328</v>
      </c>
      <c r="J8" s="5">
        <f t="shared" ref="J8:J10" si="9">(B8*F8)/360</f>
        <v>166666.66666666666</v>
      </c>
      <c r="K8" s="4">
        <f t="shared" ref="K8:K10" si="10">SUM(G8:J8)</f>
        <v>417222.22222222225</v>
      </c>
    </row>
    <row r="9" spans="1:11" x14ac:dyDescent="0.25">
      <c r="A9" t="s">
        <v>22</v>
      </c>
      <c r="B9" s="4">
        <v>1750905</v>
      </c>
      <c r="C9" s="8">
        <v>46174</v>
      </c>
      <c r="D9" s="8">
        <v>46235</v>
      </c>
      <c r="F9">
        <f>DAYS360(C9,D9)</f>
        <v>60</v>
      </c>
      <c r="G9" s="4">
        <f t="shared" si="7"/>
        <v>291817.5</v>
      </c>
      <c r="H9" s="5">
        <f t="shared" si="2"/>
        <v>5836.35</v>
      </c>
      <c r="I9" s="5">
        <f t="shared" si="8"/>
        <v>145908.75</v>
      </c>
      <c r="J9" s="5">
        <f t="shared" si="9"/>
        <v>291817.5</v>
      </c>
      <c r="K9" s="4">
        <f t="shared" si="10"/>
        <v>735380.1</v>
      </c>
    </row>
    <row r="10" spans="1:11" x14ac:dyDescent="0.25">
      <c r="A10" t="s">
        <v>26</v>
      </c>
      <c r="B10" s="4">
        <v>1600000</v>
      </c>
      <c r="C10" s="8">
        <v>46271</v>
      </c>
      <c r="D10" s="8">
        <v>46326</v>
      </c>
      <c r="F10">
        <f t="shared" si="6"/>
        <v>55</v>
      </c>
      <c r="G10" s="4">
        <f t="shared" si="7"/>
        <v>244444.44444444444</v>
      </c>
      <c r="H10" s="5">
        <f t="shared" si="2"/>
        <v>4481.4814814814808</v>
      </c>
      <c r="I10" s="5">
        <f t="shared" si="8"/>
        <v>122222.22222222222</v>
      </c>
      <c r="J10" s="5">
        <f t="shared" si="9"/>
        <v>244444.44444444444</v>
      </c>
      <c r="K10" s="4">
        <f t="shared" si="10"/>
        <v>615592.59259259258</v>
      </c>
    </row>
    <row r="11" spans="1:11" x14ac:dyDescent="0.25">
      <c r="B11" s="4"/>
      <c r="C11" s="8"/>
      <c r="D11" s="8"/>
      <c r="H11" s="3"/>
      <c r="I11" s="3"/>
      <c r="J11" s="3"/>
    </row>
    <row r="12" spans="1:11" ht="15.6" x14ac:dyDescent="0.3">
      <c r="A12" s="1" t="s">
        <v>6</v>
      </c>
      <c r="B12" s="4"/>
      <c r="C12" s="8"/>
      <c r="D12" s="8"/>
      <c r="H12" s="3"/>
      <c r="I12" s="3"/>
      <c r="J12" s="3"/>
    </row>
    <row r="13" spans="1:11" x14ac:dyDescent="0.25">
      <c r="A13" t="s">
        <v>18</v>
      </c>
      <c r="B13" s="4">
        <v>0</v>
      </c>
      <c r="C13" s="8">
        <v>46178</v>
      </c>
      <c r="D13" s="8">
        <v>46172</v>
      </c>
      <c r="F13" s="3" t="s">
        <v>19</v>
      </c>
      <c r="I13" s="3"/>
      <c r="J13" s="3"/>
    </row>
    <row r="14" spans="1:11" x14ac:dyDescent="0.25">
      <c r="A14" t="s">
        <v>20</v>
      </c>
      <c r="B14" s="4">
        <v>1750905</v>
      </c>
      <c r="C14" s="8">
        <v>46122</v>
      </c>
      <c r="D14" s="8">
        <v>46109</v>
      </c>
      <c r="F14" s="3" t="s">
        <v>21</v>
      </c>
      <c r="I14" s="3"/>
      <c r="J14" s="3"/>
    </row>
    <row r="15" spans="1:11" x14ac:dyDescent="0.25">
      <c r="A15" t="s">
        <v>23</v>
      </c>
      <c r="B15" s="4">
        <v>5252715</v>
      </c>
      <c r="C15" s="9" t="s">
        <v>24</v>
      </c>
      <c r="D15" s="8">
        <v>46143</v>
      </c>
      <c r="F15" s="3" t="s">
        <v>25</v>
      </c>
      <c r="I15" s="3"/>
      <c r="J15" s="3"/>
    </row>
    <row r="16" spans="1:11" x14ac:dyDescent="0.25">
      <c r="A16" t="s">
        <v>30</v>
      </c>
      <c r="B16" s="4">
        <v>3500000</v>
      </c>
      <c r="C16" s="8" t="s">
        <v>27</v>
      </c>
      <c r="D16" s="8" t="s">
        <v>28</v>
      </c>
      <c r="F16" s="3" t="s">
        <v>29</v>
      </c>
      <c r="I16" s="3"/>
      <c r="J16" s="3"/>
    </row>
    <row r="17" spans="1:10" x14ac:dyDescent="0.25">
      <c r="A17" t="s">
        <v>31</v>
      </c>
      <c r="B17" s="4" t="s">
        <v>32</v>
      </c>
      <c r="C17" s="8">
        <v>46204</v>
      </c>
      <c r="D17" s="8">
        <v>46242</v>
      </c>
      <c r="F17" s="3" t="s">
        <v>33</v>
      </c>
      <c r="I17" s="3"/>
      <c r="J17" s="3"/>
    </row>
  </sheetData>
  <mergeCells count="1">
    <mergeCell ref="F1:K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b14s205</dc:creator>
  <cp:lastModifiedBy>user</cp:lastModifiedBy>
  <dcterms:created xsi:type="dcterms:W3CDTF">2026-02-13T14:05:47Z</dcterms:created>
  <dcterms:modified xsi:type="dcterms:W3CDTF">2026-02-14T00:03:32Z</dcterms:modified>
</cp:coreProperties>
</file>